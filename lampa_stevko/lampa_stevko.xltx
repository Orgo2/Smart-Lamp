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Default Extension="fntdata" ContentType="application/x-fontdata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tyles.xml" ContentType="application/vnd.openxmlformats-officedocument.spreadsheetml.styles+xml"/>
  <Override PartName="/xl/_rels/workbook.xml.rels" ContentType="application/vnd.openxmlformats-package.relationships+xml"/>
  <Override PartName="/xl/workbook.xml" ContentType="application/vnd.openxmlformats-officedocument.spreadsheetml.template.main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lampa_stevko" sheetId="1" state="visible" r:id="rId3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<sst xmlns="http://schemas.openxmlformats.org/spreadsheetml/2006/main" count="240" uniqueCount="201">
  <si>
    <t xml:space="preserve">Reference</t>
  </si>
  <si>
    <t xml:space="preserve">Qty</t>
  </si>
  <si>
    <t xml:space="preserve">Value</t>
  </si>
  <si>
    <t xml:space="preserve">LCSC</t>
  </si>
  <si>
    <t xml:space="preserve">MPN</t>
  </si>
  <si>
    <t xml:space="preserve">PRICE</t>
  </si>
  <si>
    <t xml:space="preserve">Footprint</t>
  </si>
  <si>
    <t xml:space="preserve">Datasheet</t>
  </si>
  <si>
    <t xml:space="preserve">DNP</t>
  </si>
  <si>
    <t xml:space="preserve">VER</t>
  </si>
  <si>
    <t xml:space="preserve">BT1</t>
  </si>
  <si>
    <t xml:space="preserve">3v3 AA</t>
  </si>
  <si>
    <t xml:space="preserve">C5370863</t>
  </si>
  <si>
    <t xml:space="preserve">Battery:BatteryHolder_Keystone_2460_1xAA</t>
  </si>
  <si>
    <t xml:space="preserve">https://www.mouser.sk/datasheet/3/201/1/2460.PDF</t>
  </si>
  <si>
    <t xml:space="preserve">BZ1</t>
  </si>
  <si>
    <t xml:space="preserve">Buzzer</t>
  </si>
  <si>
    <t xml:space="preserve">C95163</t>
  </si>
  <si>
    <t xml:space="preserve">CPT-9019S-SMT-TR</t>
  </si>
  <si>
    <t xml:space="preserve">Buzzer_Beeper:Buzzer_CUI_CPT-9019S-SMT</t>
  </si>
  <si>
    <t xml:space="preserve">https://www.mouser.sk/datasheet/3/6118/1/cmi-1210-90-smt-tr.pdf</t>
  </si>
  <si>
    <t xml:space="preserve">C1,C4,C8,C10,C11,C12,C13,C14,C16,C20,C23,C24</t>
  </si>
  <si>
    <t xml:space="preserve">100n</t>
  </si>
  <si>
    <t xml:space="preserve">C66501</t>
  </si>
  <si>
    <t xml:space="preserve">CL10B104KO8NNNC</t>
  </si>
  <si>
    <t xml:space="preserve">Capacitor_SMD:C_0603_1608Metric</t>
  </si>
  <si>
    <t xml:space="preserve">https://www.lcsc.com/datasheet/C66501.pdf</t>
  </si>
  <si>
    <t xml:space="preserve">C2,C3,C25</t>
  </si>
  <si>
    <t xml:space="preserve">10P</t>
  </si>
  <si>
    <t xml:space="preserve">C1853175</t>
  </si>
  <si>
    <t xml:space="preserve">CC0603JRNPO8BN100</t>
  </si>
  <si>
    <t xml:space="preserve">https://www.lcsc.com/datasheet/C1853175.pdf</t>
  </si>
  <si>
    <t xml:space="preserve">C5,C15,C17</t>
  </si>
  <si>
    <t xml:space="preserve">4u7</t>
  </si>
  <si>
    <t xml:space="preserve">C1705</t>
  </si>
  <si>
    <t xml:space="preserve">CL10A475KP8NNNC</t>
  </si>
  <si>
    <t xml:space="preserve">https://www.lcsc.com/datasheet/C1705.pdf</t>
  </si>
  <si>
    <t xml:space="preserve">C6,C7,C9</t>
  </si>
  <si>
    <t xml:space="preserve">2u2</t>
  </si>
  <si>
    <t xml:space="preserve">C1607</t>
  </si>
  <si>
    <t xml:space="preserve">CL10A225KP8NNNC</t>
  </si>
  <si>
    <t xml:space="preserve">https://www.lcsc.com/datasheet/C1607.pdf</t>
  </si>
  <si>
    <t xml:space="preserve">C18,C22</t>
  </si>
  <si>
    <t xml:space="preserve">47u</t>
  </si>
  <si>
    <t xml:space="preserve">C94034</t>
  </si>
  <si>
    <t xml:space="preserve">  GRM31CR61A476ME15L </t>
  </si>
  <si>
    <t xml:space="preserve">Capacitor_SMD:C_1206_3216Metric</t>
  </si>
  <si>
    <t xml:space="preserve">https://www.lcsc.com/datasheet/C94034.pdf</t>
  </si>
  <si>
    <t xml:space="preserve">C19,C21,C26</t>
  </si>
  <si>
    <t xml:space="preserve">D1</t>
  </si>
  <si>
    <t xml:space="preserve">SFH203P</t>
  </si>
  <si>
    <t xml:space="preserve">-</t>
  </si>
  <si>
    <t xml:space="preserve">SFH 203 P</t>
  </si>
  <si>
    <t xml:space="preserve">LED_THT:LED_D3.0mm_Horizontal_O1.27mm_Z6.0mm</t>
  </si>
  <si>
    <t xml:space="preserve">https://www.tme.eu/Document/5019a3ce89961c0364129811a6458ee3/SFH203P-DTE.pdf</t>
  </si>
  <si>
    <t xml:space="preserve">D2</t>
  </si>
  <si>
    <t xml:space="preserve">RED</t>
  </si>
  <si>
    <t xml:space="preserve">C5342734</t>
  </si>
  <si>
    <t xml:space="preserve">APTD1608LSURCK</t>
  </si>
  <si>
    <t xml:space="preserve">LED_SMD:LED_0603_1608Metric</t>
  </si>
  <si>
    <t xml:space="preserve">https://www.lcsc.com/datasheet/C5342734.pdf</t>
  </si>
  <si>
    <t xml:space="preserve">D3,D4,D5,D6,D7,D8,D9,D10,D11,D12</t>
  </si>
  <si>
    <t xml:space="preserve">SK6812MINIRGBW-NW-P6</t>
  </si>
  <si>
    <t xml:space="preserve">C7423107</t>
  </si>
  <si>
    <t xml:space="preserve">LED_SMD:LED_RGB_PLCC-6</t>
  </si>
  <si>
    <t xml:space="preserve">https://www.lcsc.com/datasheet/C7423107.pdf</t>
  </si>
  <si>
    <t xml:space="preserve">D13</t>
  </si>
  <si>
    <t xml:space="preserve">SMF5V0A</t>
  </si>
  <si>
    <t xml:space="preserve">C1972946</t>
  </si>
  <si>
    <t xml:space="preserve">SMF5V0A-E3-08</t>
  </si>
  <si>
    <t xml:space="preserve">Diode_SMD:D_SMF</t>
  </si>
  <si>
    <t xml:space="preserve">https://www.vishay.com/doc?85881</t>
  </si>
  <si>
    <t xml:space="preserve">F1</t>
  </si>
  <si>
    <t xml:space="preserve">1A</t>
  </si>
  <si>
    <t xml:space="preserve">C33977641</t>
  </si>
  <si>
    <t xml:space="preserve">0603L100/12AR</t>
  </si>
  <si>
    <t xml:space="preserve">Resistor_SMD:R_0603_1608Metric</t>
  </si>
  <si>
    <t xml:space="preserve">https://www.lcsc.com/datasheet/C33977641.pdf</t>
  </si>
  <si>
    <t xml:space="preserve">F2</t>
  </si>
  <si>
    <t xml:space="preserve">2A</t>
  </si>
  <si>
    <t xml:space="preserve">C720073</t>
  </si>
  <si>
    <t xml:space="preserve">JK-SMD0603-200L</t>
  </si>
  <si>
    <t xml:space="preserve">https://www.lcsc.com/datasheet/C720073.pdf</t>
  </si>
  <si>
    <t xml:space="preserve">J1</t>
  </si>
  <si>
    <t xml:space="preserve">Conn_01x04_Pin</t>
  </si>
  <si>
    <t xml:space="preserve">Connector_PinHeader_2.54mm:PinHeader_1x04_P2.54mm_Vertical</t>
  </si>
  <si>
    <t xml:space="preserve">~</t>
  </si>
  <si>
    <t xml:space="preserve">L1</t>
  </si>
  <si>
    <t xml:space="preserve">C6021483</t>
  </si>
  <si>
    <t xml:space="preserve">DFE322520F-2R2M=P2</t>
  </si>
  <si>
    <t xml:space="preserve">Inductor_SMD:L_1210_3225Metric</t>
  </si>
  <si>
    <t xml:space="preserve">https://www.lcsc.com/datasheet/C6021483.pdf</t>
  </si>
  <si>
    <t xml:space="preserve">MK1</t>
  </si>
  <si>
    <t xml:space="preserve">cmm-4030dt</t>
  </si>
  <si>
    <t xml:space="preserve">CMM-4030DT-261075-TR </t>
  </si>
  <si>
    <t xml:space="preserve">semiconductors:MIC_CMM-4030DT-261280-TR</t>
  </si>
  <si>
    <t xml:space="preserve">https://www.mouser.sk/datasheet/3/6118/1/cmm-4030dt-261280-tr.pdf</t>
  </si>
  <si>
    <t xml:space="preserve">P1</t>
  </si>
  <si>
    <t xml:space="preserve">USB_C_Plug_USB2.0</t>
  </si>
  <si>
    <t xml:space="preserve">C2843970</t>
  </si>
  <si>
    <t xml:space="preserve">GT-USB-7051A</t>
  </si>
  <si>
    <t xml:space="preserve">Connector_USB:USB_C_Receptacle_G-Switch_GT-USB-7051x</t>
  </si>
  <si>
    <t xml:space="preserve">https://www.usb.org/sites/default/files/documents/usb_type-c.zip</t>
  </si>
  <si>
    <t xml:space="preserve">Q1</t>
  </si>
  <si>
    <t xml:space="preserve">AO3400A</t>
  </si>
  <si>
    <t xml:space="preserve">C49195711</t>
  </si>
  <si>
    <t xml:space="preserve">Package_TO_SOT_SMD:SOT-23</t>
  </si>
  <si>
    <t xml:space="preserve">https://www.lcsc.com/datasheet/C49195711.pdf</t>
  </si>
  <si>
    <t xml:space="preserve">R1,R4,R8,R14</t>
  </si>
  <si>
    <t xml:space="preserve">C107696</t>
  </si>
  <si>
    <t xml:space="preserve">RC0603FR-07220RL</t>
  </si>
  <si>
    <t xml:space="preserve">https://www.lcsc.com/datasheet/C107696.pdf</t>
  </si>
  <si>
    <t xml:space="preserve">R2,R15,R21,R24,R25</t>
  </si>
  <si>
    <t xml:space="preserve">100K</t>
  </si>
  <si>
    <t xml:space="preserve">C14675</t>
  </si>
  <si>
    <t xml:space="preserve">RC0603FR-07100KL</t>
  </si>
  <si>
    <t xml:space="preserve">https://www.lcsc.com/datasheet/C14675.pdf</t>
  </si>
  <si>
    <t xml:space="preserve">R3,R6,R18</t>
  </si>
  <si>
    <t xml:space="preserve">330K</t>
  </si>
  <si>
    <t xml:space="preserve">C114618</t>
  </si>
  <si>
    <t xml:space="preserve">RC0603FR-07330KL</t>
  </si>
  <si>
    <t xml:space="preserve">https://www.lcsc.com/datasheet/C114618.pdf</t>
  </si>
  <si>
    <t xml:space="preserve">R5,R7</t>
  </si>
  <si>
    <t xml:space="preserve">5K1</t>
  </si>
  <si>
    <t xml:space="preserve">C105580</t>
  </si>
  <si>
    <t xml:space="preserve">RC0603FR-075K1L</t>
  </si>
  <si>
    <t xml:space="preserve">https://www.lcsc.com/datasheet/C105580.pdf</t>
  </si>
  <si>
    <t xml:space="preserve">R9,R10</t>
  </si>
  <si>
    <t xml:space="preserve">22k</t>
  </si>
  <si>
    <t xml:space="preserve">C114065</t>
  </si>
  <si>
    <t xml:space="preserve">RC0603FR-0722KL</t>
  </si>
  <si>
    <t xml:space="preserve">https://www.lcsc.com/datasheet/C114065.pdf</t>
  </si>
  <si>
    <t xml:space="preserve">R11</t>
  </si>
  <si>
    <t xml:space="preserve">22K</t>
  </si>
  <si>
    <t xml:space="preserve">R12,R13</t>
  </si>
  <si>
    <t xml:space="preserve">1K</t>
  </si>
  <si>
    <t xml:space="preserve">C22548</t>
  </si>
  <si>
    <t xml:space="preserve">RC0603FR-071KL</t>
  </si>
  <si>
    <t xml:space="preserve">R16</t>
  </si>
  <si>
    <t xml:space="preserve">47K</t>
  </si>
  <si>
    <t xml:space="preserve">C105579</t>
  </si>
  <si>
    <t xml:space="preserve">RC0603FR-0747KL</t>
  </si>
  <si>
    <t xml:space="preserve">https://www.lcsc.com/datasheet/C105579.pdf</t>
  </si>
  <si>
    <t xml:space="preserve">R17,R20</t>
  </si>
  <si>
    <t xml:space="preserve">R19</t>
  </si>
  <si>
    <t xml:space="preserve">56K</t>
  </si>
  <si>
    <t xml:space="preserve">C114630</t>
  </si>
  <si>
    <t xml:space="preserve">RC0603FR-0756KL</t>
  </si>
  <si>
    <t xml:space="preserve">https://www.lcsc.com/datasheet/C114630.pdf</t>
  </si>
  <si>
    <t xml:space="preserve">SW1,SW2,SW3</t>
  </si>
  <si>
    <t xml:space="preserve">B3U-1000P</t>
  </si>
  <si>
    <t xml:space="preserve">C231329</t>
  </si>
  <si>
    <t xml:space="preserve">Button_Switch_SMD:SW_SPST_B3U-1000P</t>
  </si>
  <si>
    <t xml:space="preserve">https://www.lcsc.com/datasheet/C231329.pdf</t>
  </si>
  <si>
    <t xml:space="preserve">TH1</t>
  </si>
  <si>
    <t xml:space="preserve">10K_ntc</t>
  </si>
  <si>
    <t xml:space="preserve">TH05-3H103F</t>
  </si>
  <si>
    <t xml:space="preserve">https://www.mmc.co.jp/adv/en/pdf/Division_PDF/chipthermistor.pdf</t>
  </si>
  <si>
    <t xml:space="preserve">U1</t>
  </si>
  <si>
    <t xml:space="preserve">STM32U073KCUx</t>
  </si>
  <si>
    <t xml:space="preserve">C22445363</t>
  </si>
  <si>
    <t xml:space="preserve">STM32U073KCU6</t>
  </si>
  <si>
    <t xml:space="preserve">Package_DFN_QFN:QFN-32-1EP_5x5mm_P0.5mm_EP3.45x3.45mm</t>
  </si>
  <si>
    <t xml:space="preserve">https://www.st.com/resource/en/datasheet/stm32u073kc.pdf</t>
  </si>
  <si>
    <t xml:space="preserve">U2</t>
  </si>
  <si>
    <t xml:space="preserve">IP4234CZ6</t>
  </si>
  <si>
    <t xml:space="preserve">C455086</t>
  </si>
  <si>
    <t xml:space="preserve">IP4234CZ6,125</t>
  </si>
  <si>
    <t xml:space="preserve">Package_TO_SOT_SMD:SC-74-6_1.55x2.9mm_P0.95mm</t>
  </si>
  <si>
    <t xml:space="preserve">https://assets.nexperia.com/documents/data-sheet/IP4234CZ6.pdf</t>
  </si>
  <si>
    <t xml:space="preserve">U3</t>
  </si>
  <si>
    <t xml:space="preserve">MCP6L01x-xOT</t>
  </si>
  <si>
    <t xml:space="preserve">C145745</t>
  </si>
  <si>
    <t xml:space="preserve">MCP6L01T-E/OT</t>
  </si>
  <si>
    <t xml:space="preserve">Package_TO_SOT_SMD:SOT-23-5</t>
  </si>
  <si>
    <t xml:space="preserve">http://ww1.microchip.com/downloads/en/devicedoc/22140b.pdf</t>
  </si>
  <si>
    <t xml:space="preserve">U4</t>
  </si>
  <si>
    <t xml:space="preserve">STNS01</t>
  </si>
  <si>
    <t xml:space="preserve">C2848343</t>
  </si>
  <si>
    <t xml:space="preserve">STNS01PUR</t>
  </si>
  <si>
    <t xml:space="preserve">Package_DFN_QFN:DFN-12-1EP_3x3mm_P0.45mm_EP1.65x2.38mm_ThermalVias</t>
  </si>
  <si>
    <t xml:space="preserve">https://www.st.com/resource/en/datasheet/stns01.pdf</t>
  </si>
  <si>
    <t xml:space="preserve">U5</t>
  </si>
  <si>
    <t xml:space="preserve">BME280</t>
  </si>
  <si>
    <t xml:space="preserve">C92489</t>
  </si>
  <si>
    <t xml:space="preserve">Package_LGA:Bosch_LGA-8_2.5x2.5mm_P0.65mm_ClockwisePinNumbering</t>
  </si>
  <si>
    <t xml:space="preserve">https://www.bosch-sensortec.com/media/boschsensortec/downloads/datasheets/bst-bme280-ds002.pdf</t>
  </si>
  <si>
    <t xml:space="preserve">U6</t>
  </si>
  <si>
    <t xml:space="preserve">TLV61070ADBV</t>
  </si>
  <si>
    <t xml:space="preserve">C6881375</t>
  </si>
  <si>
    <t xml:space="preserve">TLV61070ADBVR</t>
  </si>
  <si>
    <t xml:space="preserve">Package_TO_SOT_SMD:SOT-23-6</t>
  </si>
  <si>
    <t xml:space="preserve">https://www.ti.com/lit/ds/symlink/tlv61070a.pdf</t>
  </si>
  <si>
    <t xml:space="preserve">Y1</t>
  </si>
  <si>
    <t xml:space="preserve">32.768K</t>
  </si>
  <si>
    <t xml:space="preserve">C97603</t>
  </si>
  <si>
    <t xml:space="preserve">SC-20S,32.768kHz,20PPM,9pF</t>
  </si>
  <si>
    <t xml:space="preserve">Crystal:Crystal_SMD_2012-2Pin_2.0x1.2mm</t>
  </si>
  <si>
    <t xml:space="preserve">https://www.lcsc.com/datasheet/C97603.pdf</t>
  </si>
  <si>
    <t xml:space="preserve">Summ mcu</t>
  </si>
  <si>
    <t xml:space="preserve">summ led</t>
  </si>
</sst>
</file>

<file path=xl/styles.xml><?xml version="1.0" encoding="utf-8"?>
<styleSheet xmlns="http://schemas.openxmlformats.org/spreadsheetml/2006/main">
  <numFmts count="1">
    <numFmt numFmtId="164" formatCode="General"/>
  </numFmts>
  <fonts count="6">
    <font>
      <sz val="10"/>
      <name val="Arial"/>
      <family val="2"/>
      <charset val="238"/>
    </font>
    <font>
      <sz val="10"/>
      <name val="Arial"/>
      <family val="0"/>
      <charset val="238"/>
    </font>
    <font>
      <sz val="10"/>
      <name val="Arial"/>
      <family val="0"/>
      <charset val="238"/>
    </font>
    <font>
      <sz val="10"/>
      <name val="Arial"/>
      <family val="0"/>
      <charset val="238"/>
    </font>
    <font>
      <sz val="10"/>
      <color rgb="FF0000FF"/>
      <name val="Arial"/>
      <family val="2"/>
      <charset val="238"/>
    </font>
    <font>
      <sz val="10"/>
      <name val="Times New Roman"/>
      <family val="1"/>
      <charset val="238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s://www.lcsc.com/datasheet/C1705.pdf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4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M12" activeCellId="0" sqref="M12"/>
    </sheetView>
  </sheetViews>
  <sheetFormatPr defaultColWidth="11.53515625" defaultRowHeight="12.8" customHeight="true" zeroHeight="false" outlineLevelRow="0" outlineLevelCol="0"/>
  <cols>
    <col collapsed="false" customWidth="true" hidden="false" outlineLevel="0" max="1" min="1" style="0" width="43.52"/>
    <col collapsed="false" customWidth="true" hidden="false" outlineLevel="0" max="2" min="2" style="0" width="4.38"/>
    <col collapsed="false" customWidth="true" hidden="false" outlineLevel="0" max="3" min="3" style="0" width="23.79"/>
    <col collapsed="false" customWidth="true" hidden="false" outlineLevel="0" max="4" min="4" style="0" width="13.38"/>
    <col collapsed="false" customWidth="true" hidden="false" outlineLevel="0" max="5" min="5" style="0" width="36.04"/>
    <col collapsed="false" customWidth="true" hidden="false" outlineLevel="0" max="6" min="6" style="0" width="11.85"/>
    <col collapsed="false" customWidth="true" hidden="false" outlineLevel="0" max="7" min="7" style="0" width="15.29"/>
    <col collapsed="false" customWidth="true" hidden="false" outlineLevel="0" max="8" min="8" style="0" width="69.88"/>
    <col collapsed="false" customWidth="true" hidden="false" outlineLevel="0" max="9" min="9" style="0" width="108.25"/>
    <col collapsed="false" customWidth="true" hidden="false" outlineLevel="0" max="10" min="10" style="0" width="5.25"/>
    <col collapsed="false" customWidth="true" hidden="false" outlineLevel="0" max="11" min="11" style="0" width="5.13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  <c r="H1" s="0" t="s">
        <v>6</v>
      </c>
      <c r="I1" s="0" t="s">
        <v>7</v>
      </c>
      <c r="J1" s="0" t="s">
        <v>8</v>
      </c>
      <c r="K1" s="0" t="s">
        <v>9</v>
      </c>
    </row>
    <row r="2" customFormat="false" ht="12.8" hidden="false" customHeight="false" outlineLevel="0" collapsed="false">
      <c r="A2" s="0" t="s">
        <v>10</v>
      </c>
      <c r="B2" s="0" t="n">
        <v>1</v>
      </c>
      <c r="C2" s="0" t="s">
        <v>11</v>
      </c>
      <c r="D2" s="0" t="s">
        <v>12</v>
      </c>
      <c r="E2" s="0" t="n">
        <v>2460</v>
      </c>
      <c r="F2" s="0" t="n">
        <v>0.84</v>
      </c>
      <c r="G2" s="0" t="n">
        <f aca="false">F2*B2</f>
        <v>0.84</v>
      </c>
      <c r="H2" s="0" t="s">
        <v>13</v>
      </c>
      <c r="I2" s="0" t="s">
        <v>14</v>
      </c>
      <c r="J2" s="0" t="s">
        <v>8</v>
      </c>
    </row>
    <row r="3" customFormat="false" ht="12.8" hidden="false" customHeight="false" outlineLevel="0" collapsed="false">
      <c r="A3" s="0" t="s">
        <v>15</v>
      </c>
      <c r="B3" s="0" t="n">
        <v>1</v>
      </c>
      <c r="C3" s="0" t="s">
        <v>16</v>
      </c>
      <c r="D3" s="0" t="s">
        <v>17</v>
      </c>
      <c r="E3" s="0" t="s">
        <v>18</v>
      </c>
      <c r="F3" s="0" t="n">
        <v>1.48</v>
      </c>
      <c r="G3" s="0" t="n">
        <f aca="false">F3*B3</f>
        <v>1.48</v>
      </c>
      <c r="H3" s="0" t="s">
        <v>19</v>
      </c>
      <c r="I3" s="0" t="s">
        <v>20</v>
      </c>
    </row>
    <row r="4" customFormat="false" ht="12.8" hidden="false" customHeight="false" outlineLevel="0" collapsed="false">
      <c r="A4" s="0" t="s">
        <v>21</v>
      </c>
      <c r="B4" s="0" t="n">
        <v>12</v>
      </c>
      <c r="C4" s="0" t="s">
        <v>22</v>
      </c>
      <c r="D4" s="0" t="s">
        <v>23</v>
      </c>
      <c r="E4" s="0" t="s">
        <v>24</v>
      </c>
      <c r="F4" s="0" t="n">
        <v>0.006</v>
      </c>
      <c r="G4" s="0" t="n">
        <f aca="false">F4*B4</f>
        <v>0.072</v>
      </c>
      <c r="H4" s="0" t="s">
        <v>25</v>
      </c>
      <c r="I4" s="0" t="s">
        <v>26</v>
      </c>
    </row>
    <row r="5" customFormat="false" ht="12.8" hidden="false" customHeight="false" outlineLevel="0" collapsed="false">
      <c r="A5" s="0" t="s">
        <v>27</v>
      </c>
      <c r="B5" s="0" t="n">
        <v>3</v>
      </c>
      <c r="C5" s="0" t="s">
        <v>28</v>
      </c>
      <c r="D5" s="0" t="s">
        <v>29</v>
      </c>
      <c r="E5" s="0" t="s">
        <v>30</v>
      </c>
      <c r="F5" s="0" t="n">
        <v>0.002</v>
      </c>
      <c r="G5" s="0" t="n">
        <f aca="false">F5*B5</f>
        <v>0.006</v>
      </c>
      <c r="H5" s="0" t="s">
        <v>25</v>
      </c>
      <c r="I5" s="0" t="s">
        <v>31</v>
      </c>
    </row>
    <row r="6" customFormat="false" ht="12.8" hidden="false" customHeight="false" outlineLevel="0" collapsed="false">
      <c r="A6" s="0" t="s">
        <v>32</v>
      </c>
      <c r="B6" s="0" t="n">
        <v>3</v>
      </c>
      <c r="C6" s="0" t="s">
        <v>33</v>
      </c>
      <c r="D6" s="0" t="s">
        <v>34</v>
      </c>
      <c r="E6" s="0" t="s">
        <v>35</v>
      </c>
      <c r="F6" s="0" t="n">
        <v>0.006</v>
      </c>
      <c r="G6" s="0" t="n">
        <f aca="false">F6*B6</f>
        <v>0.018</v>
      </c>
      <c r="H6" s="0" t="s">
        <v>25</v>
      </c>
      <c r="I6" s="1" t="s">
        <v>36</v>
      </c>
    </row>
    <row r="7" customFormat="false" ht="12.8" hidden="false" customHeight="false" outlineLevel="0" collapsed="false">
      <c r="A7" s="0" t="s">
        <v>37</v>
      </c>
      <c r="B7" s="0" t="n">
        <v>3</v>
      </c>
      <c r="C7" s="0" t="s">
        <v>38</v>
      </c>
      <c r="D7" s="0" t="s">
        <v>39</v>
      </c>
      <c r="E7" s="0" t="s">
        <v>40</v>
      </c>
      <c r="F7" s="0" t="n">
        <v>0.0054</v>
      </c>
      <c r="G7" s="0" t="n">
        <f aca="false">F7*B7</f>
        <v>0.0162</v>
      </c>
      <c r="H7" s="0" t="s">
        <v>25</v>
      </c>
      <c r="I7" s="0" t="s">
        <v>41</v>
      </c>
    </row>
    <row r="8" customFormat="false" ht="12.8" hidden="false" customHeight="false" outlineLevel="0" collapsed="false">
      <c r="A8" s="0" t="s">
        <v>42</v>
      </c>
      <c r="B8" s="0" t="n">
        <v>2</v>
      </c>
      <c r="C8" s="0" t="s">
        <v>43</v>
      </c>
      <c r="D8" s="0" t="s">
        <v>44</v>
      </c>
      <c r="E8" s="0" t="s">
        <v>45</v>
      </c>
      <c r="F8" s="0" t="n">
        <v>0.0449</v>
      </c>
      <c r="G8" s="0" t="n">
        <f aca="false">F8*B8</f>
        <v>0.0898</v>
      </c>
      <c r="H8" s="0" t="s">
        <v>46</v>
      </c>
      <c r="I8" s="0" t="s">
        <v>47</v>
      </c>
    </row>
    <row r="9" customFormat="false" ht="12.8" hidden="false" customHeight="false" outlineLevel="0" collapsed="false">
      <c r="A9" s="0" t="s">
        <v>48</v>
      </c>
      <c r="B9" s="0" t="n">
        <v>3</v>
      </c>
      <c r="C9" s="0" t="s">
        <v>22</v>
      </c>
      <c r="D9" s="0" t="s">
        <v>23</v>
      </c>
      <c r="E9" s="0" t="s">
        <v>24</v>
      </c>
      <c r="F9" s="0" t="n">
        <v>0.006</v>
      </c>
      <c r="G9" s="0" t="n">
        <f aca="false">F9*B9</f>
        <v>0.018</v>
      </c>
      <c r="H9" s="0" t="s">
        <v>25</v>
      </c>
      <c r="I9" s="0" t="s">
        <v>26</v>
      </c>
      <c r="K9" s="0" t="n">
        <v>1</v>
      </c>
    </row>
    <row r="10" customFormat="false" ht="12.8" hidden="false" customHeight="false" outlineLevel="0" collapsed="false">
      <c r="A10" s="0" t="s">
        <v>49</v>
      </c>
      <c r="B10" s="0" t="n">
        <v>1</v>
      </c>
      <c r="C10" s="0" t="s">
        <v>50</v>
      </c>
      <c r="D10" s="0" t="s">
        <v>51</v>
      </c>
      <c r="E10" s="0" t="s">
        <v>52</v>
      </c>
      <c r="F10" s="0" t="n">
        <v>0.55</v>
      </c>
      <c r="G10" s="0" t="n">
        <f aca="false">F10*B10</f>
        <v>0.55</v>
      </c>
      <c r="H10" s="0" t="s">
        <v>53</v>
      </c>
      <c r="I10" s="0" t="s">
        <v>54</v>
      </c>
      <c r="J10" s="0" t="s">
        <v>8</v>
      </c>
    </row>
    <row r="11" customFormat="false" ht="12.8" hidden="false" customHeight="false" outlineLevel="0" collapsed="false">
      <c r="A11" s="0" t="s">
        <v>55</v>
      </c>
      <c r="B11" s="0" t="n">
        <v>1</v>
      </c>
      <c r="C11" s="0" t="s">
        <v>56</v>
      </c>
      <c r="D11" s="0" t="s">
        <v>57</v>
      </c>
      <c r="E11" s="0" t="s">
        <v>58</v>
      </c>
      <c r="F11" s="0" t="n">
        <v>0.15</v>
      </c>
      <c r="G11" s="0" t="n">
        <f aca="false">F11*B11</f>
        <v>0.15</v>
      </c>
      <c r="H11" s="0" t="s">
        <v>59</v>
      </c>
      <c r="I11" s="0" t="s">
        <v>60</v>
      </c>
    </row>
    <row r="12" customFormat="false" ht="12.8" hidden="false" customHeight="false" outlineLevel="0" collapsed="false">
      <c r="A12" s="0" t="s">
        <v>61</v>
      </c>
      <c r="B12" s="0" t="n">
        <v>10</v>
      </c>
      <c r="C12" s="0" t="s">
        <v>62</v>
      </c>
      <c r="D12" s="0" t="s">
        <v>63</v>
      </c>
      <c r="E12" s="0" t="s">
        <v>62</v>
      </c>
      <c r="F12" s="0" t="n">
        <v>0.09</v>
      </c>
      <c r="G12" s="0" t="n">
        <f aca="false">F12*B12</f>
        <v>0.9</v>
      </c>
      <c r="H12" s="0" t="s">
        <v>64</v>
      </c>
      <c r="I12" s="0" t="s">
        <v>65</v>
      </c>
      <c r="K12" s="0" t="n">
        <v>1</v>
      </c>
    </row>
    <row r="13" customFormat="false" ht="12.8" hidden="false" customHeight="false" outlineLevel="0" collapsed="false">
      <c r="A13" s="0" t="s">
        <v>66</v>
      </c>
      <c r="B13" s="0" t="n">
        <v>1</v>
      </c>
      <c r="C13" s="0" t="s">
        <v>67</v>
      </c>
      <c r="D13" s="0" t="s">
        <v>68</v>
      </c>
      <c r="E13" s="0" t="s">
        <v>69</v>
      </c>
      <c r="F13" s="0" t="n">
        <v>0.11</v>
      </c>
      <c r="G13" s="0" t="n">
        <f aca="false">F13*B13</f>
        <v>0.11</v>
      </c>
      <c r="H13" s="0" t="s">
        <v>70</v>
      </c>
      <c r="I13" s="0" t="s">
        <v>71</v>
      </c>
    </row>
    <row r="14" customFormat="false" ht="12.8" hidden="false" customHeight="false" outlineLevel="0" collapsed="false">
      <c r="A14" s="0" t="s">
        <v>72</v>
      </c>
      <c r="B14" s="0" t="n">
        <v>1</v>
      </c>
      <c r="C14" s="0" t="s">
        <v>73</v>
      </c>
      <c r="D14" s="0" t="s">
        <v>74</v>
      </c>
      <c r="E14" s="0" t="s">
        <v>75</v>
      </c>
      <c r="F14" s="0" t="n">
        <v>0.07</v>
      </c>
      <c r="G14" s="0" t="n">
        <f aca="false">F14*B14</f>
        <v>0.07</v>
      </c>
      <c r="H14" s="0" t="s">
        <v>76</v>
      </c>
      <c r="I14" s="0" t="s">
        <v>77</v>
      </c>
    </row>
    <row r="15" customFormat="false" ht="12.8" hidden="false" customHeight="false" outlineLevel="0" collapsed="false">
      <c r="A15" s="0" t="s">
        <v>78</v>
      </c>
      <c r="B15" s="0" t="n">
        <v>1</v>
      </c>
      <c r="C15" s="0" t="s">
        <v>79</v>
      </c>
      <c r="D15" s="0" t="s">
        <v>80</v>
      </c>
      <c r="E15" s="0" t="s">
        <v>81</v>
      </c>
      <c r="F15" s="0" t="n">
        <v>0.06</v>
      </c>
      <c r="G15" s="0" t="n">
        <f aca="false">F15*B15</f>
        <v>0.06</v>
      </c>
      <c r="H15" s="0" t="s">
        <v>76</v>
      </c>
      <c r="I15" s="0" t="s">
        <v>82</v>
      </c>
    </row>
    <row r="16" customFormat="false" ht="12.8" hidden="false" customHeight="false" outlineLevel="0" collapsed="false">
      <c r="A16" s="0" t="s">
        <v>83</v>
      </c>
      <c r="B16" s="0" t="n">
        <v>1</v>
      </c>
      <c r="C16" s="0" t="s">
        <v>84</v>
      </c>
      <c r="D16" s="0" t="s">
        <v>51</v>
      </c>
      <c r="G16" s="0" t="n">
        <f aca="false">F16*B16</f>
        <v>0</v>
      </c>
      <c r="H16" s="0" t="s">
        <v>85</v>
      </c>
      <c r="I16" s="0" t="s">
        <v>86</v>
      </c>
      <c r="J16" s="0" t="s">
        <v>8</v>
      </c>
    </row>
    <row r="17" customFormat="false" ht="12.8" hidden="false" customHeight="false" outlineLevel="0" collapsed="false">
      <c r="A17" s="0" t="s">
        <v>87</v>
      </c>
      <c r="B17" s="0" t="n">
        <v>1</v>
      </c>
      <c r="C17" s="0" t="s">
        <v>38</v>
      </c>
      <c r="D17" s="0" t="s">
        <v>88</v>
      </c>
      <c r="E17" s="0" t="s">
        <v>89</v>
      </c>
      <c r="F17" s="0" t="n">
        <v>0.5</v>
      </c>
      <c r="G17" s="0" t="n">
        <f aca="false">F17*B17</f>
        <v>0.5</v>
      </c>
      <c r="H17" s="0" t="s">
        <v>90</v>
      </c>
      <c r="I17" s="0" t="s">
        <v>91</v>
      </c>
    </row>
    <row r="18" customFormat="false" ht="12.8" hidden="false" customHeight="false" outlineLevel="0" collapsed="false">
      <c r="A18" s="0" t="s">
        <v>92</v>
      </c>
      <c r="B18" s="0" t="n">
        <v>1</v>
      </c>
      <c r="C18" s="0" t="s">
        <v>93</v>
      </c>
      <c r="D18" s="0" t="s">
        <v>51</v>
      </c>
      <c r="E18" s="2" t="s">
        <v>94</v>
      </c>
      <c r="F18" s="2" t="n">
        <v>1.57</v>
      </c>
      <c r="G18" s="0" t="n">
        <f aca="false">F18*B18</f>
        <v>1.57</v>
      </c>
      <c r="H18" s="0" t="s">
        <v>95</v>
      </c>
      <c r="I18" s="0" t="s">
        <v>96</v>
      </c>
    </row>
    <row r="19" customFormat="false" ht="12.8" hidden="false" customHeight="false" outlineLevel="0" collapsed="false">
      <c r="A19" s="0" t="s">
        <v>97</v>
      </c>
      <c r="B19" s="0" t="n">
        <v>1</v>
      </c>
      <c r="C19" s="0" t="s">
        <v>98</v>
      </c>
      <c r="D19" s="0" t="s">
        <v>99</v>
      </c>
      <c r="E19" s="0" t="s">
        <v>100</v>
      </c>
      <c r="F19" s="0" t="n">
        <v>0.35</v>
      </c>
      <c r="G19" s="0" t="n">
        <f aca="false">F19*B19</f>
        <v>0.35</v>
      </c>
      <c r="H19" s="0" t="s">
        <v>101</v>
      </c>
      <c r="I19" s="0" t="s">
        <v>102</v>
      </c>
    </row>
    <row r="20" customFormat="false" ht="12.8" hidden="false" customHeight="false" outlineLevel="0" collapsed="false">
      <c r="A20" s="0" t="s">
        <v>103</v>
      </c>
      <c r="B20" s="0" t="n">
        <v>1</v>
      </c>
      <c r="C20" s="0" t="s">
        <v>104</v>
      </c>
      <c r="D20" s="0" t="s">
        <v>105</v>
      </c>
      <c r="E20" s="0" t="s">
        <v>104</v>
      </c>
      <c r="F20" s="0" t="n">
        <v>0.02</v>
      </c>
      <c r="G20" s="0" t="n">
        <f aca="false">F20*B20</f>
        <v>0.02</v>
      </c>
      <c r="H20" s="0" t="s">
        <v>106</v>
      </c>
      <c r="I20" s="0" t="s">
        <v>107</v>
      </c>
    </row>
    <row r="21" customFormat="false" ht="12.8" hidden="false" customHeight="false" outlineLevel="0" collapsed="false">
      <c r="A21" s="0" t="s">
        <v>108</v>
      </c>
      <c r="B21" s="0" t="n">
        <v>4</v>
      </c>
      <c r="C21" s="0" t="n">
        <v>220</v>
      </c>
      <c r="D21" s="0" t="s">
        <v>109</v>
      </c>
      <c r="E21" s="0" t="s">
        <v>110</v>
      </c>
      <c r="F21" s="0" t="n">
        <v>0.001</v>
      </c>
      <c r="G21" s="0" t="n">
        <f aca="false">F21*B21</f>
        <v>0.004</v>
      </c>
      <c r="H21" s="0" t="s">
        <v>76</v>
      </c>
      <c r="I21" s="0" t="s">
        <v>111</v>
      </c>
    </row>
    <row r="22" customFormat="false" ht="12.8" hidden="false" customHeight="false" outlineLevel="0" collapsed="false">
      <c r="A22" s="0" t="s">
        <v>112</v>
      </c>
      <c r="B22" s="0" t="n">
        <v>5</v>
      </c>
      <c r="C22" s="0" t="s">
        <v>113</v>
      </c>
      <c r="D22" s="0" t="s">
        <v>114</v>
      </c>
      <c r="E22" s="0" t="s">
        <v>115</v>
      </c>
      <c r="F22" s="0" t="n">
        <v>0.001</v>
      </c>
      <c r="G22" s="0" t="n">
        <f aca="false">F22*B22</f>
        <v>0.005</v>
      </c>
      <c r="H22" s="0" t="s">
        <v>76</v>
      </c>
      <c r="I22" s="0" t="s">
        <v>116</v>
      </c>
    </row>
    <row r="23" customFormat="false" ht="12.8" hidden="false" customHeight="false" outlineLevel="0" collapsed="false">
      <c r="A23" s="0" t="s">
        <v>117</v>
      </c>
      <c r="B23" s="0" t="n">
        <v>3</v>
      </c>
      <c r="C23" s="0" t="s">
        <v>118</v>
      </c>
      <c r="D23" s="0" t="s">
        <v>119</v>
      </c>
      <c r="E23" s="0" t="s">
        <v>120</v>
      </c>
      <c r="F23" s="0" t="n">
        <v>0.002</v>
      </c>
      <c r="G23" s="0" t="n">
        <f aca="false">F23*B23</f>
        <v>0.006</v>
      </c>
      <c r="H23" s="0" t="s">
        <v>76</v>
      </c>
      <c r="I23" s="0" t="s">
        <v>121</v>
      </c>
    </row>
    <row r="24" customFormat="false" ht="12.8" hidden="false" customHeight="false" outlineLevel="0" collapsed="false">
      <c r="A24" s="0" t="s">
        <v>122</v>
      </c>
      <c r="B24" s="0" t="n">
        <v>2</v>
      </c>
      <c r="C24" s="0" t="s">
        <v>123</v>
      </c>
      <c r="D24" s="0" t="s">
        <v>124</v>
      </c>
      <c r="E24" s="0" t="s">
        <v>125</v>
      </c>
      <c r="F24" s="0" t="n">
        <v>0.0011</v>
      </c>
      <c r="G24" s="0" t="n">
        <f aca="false">F24*B24</f>
        <v>0.0022</v>
      </c>
      <c r="H24" s="0" t="s">
        <v>76</v>
      </c>
      <c r="I24" s="0" t="s">
        <v>126</v>
      </c>
    </row>
    <row r="25" customFormat="false" ht="12.8" hidden="false" customHeight="false" outlineLevel="0" collapsed="false">
      <c r="A25" s="0" t="s">
        <v>127</v>
      </c>
      <c r="B25" s="0" t="n">
        <v>2</v>
      </c>
      <c r="C25" s="0" t="s">
        <v>128</v>
      </c>
      <c r="D25" s="0" t="s">
        <v>129</v>
      </c>
      <c r="E25" s="0" t="s">
        <v>130</v>
      </c>
      <c r="F25" s="0" t="n">
        <v>0.001</v>
      </c>
      <c r="G25" s="0" t="n">
        <f aca="false">F25*B25</f>
        <v>0.002</v>
      </c>
      <c r="H25" s="0" t="s">
        <v>76</v>
      </c>
      <c r="I25" s="0" t="s">
        <v>131</v>
      </c>
    </row>
    <row r="26" customFormat="false" ht="12.8" hidden="false" customHeight="false" outlineLevel="0" collapsed="false">
      <c r="A26" s="0" t="s">
        <v>132</v>
      </c>
      <c r="B26" s="0" t="n">
        <v>1</v>
      </c>
      <c r="C26" s="0" t="s">
        <v>133</v>
      </c>
      <c r="D26" s="0" t="s">
        <v>129</v>
      </c>
      <c r="E26" s="0" t="s">
        <v>130</v>
      </c>
      <c r="F26" s="0" t="n">
        <v>0.001</v>
      </c>
      <c r="G26" s="0" t="n">
        <f aca="false">F26*B26</f>
        <v>0.001</v>
      </c>
      <c r="H26" s="0" t="s">
        <v>76</v>
      </c>
      <c r="I26" s="0" t="s">
        <v>131</v>
      </c>
    </row>
    <row r="27" customFormat="false" ht="12.8" hidden="false" customHeight="false" outlineLevel="0" collapsed="false">
      <c r="A27" s="0" t="s">
        <v>134</v>
      </c>
      <c r="B27" s="0" t="n">
        <v>2</v>
      </c>
      <c r="C27" s="0" t="s">
        <v>135</v>
      </c>
      <c r="D27" s="0" t="s">
        <v>136</v>
      </c>
      <c r="E27" s="0" t="s">
        <v>137</v>
      </c>
      <c r="F27" s="0" t="n">
        <v>0.001</v>
      </c>
      <c r="G27" s="0" t="n">
        <f aca="false">F27*B27</f>
        <v>0.002</v>
      </c>
      <c r="H27" s="0" t="s">
        <v>76</v>
      </c>
      <c r="I27" s="0" t="s">
        <v>111</v>
      </c>
    </row>
    <row r="28" customFormat="false" ht="12.8" hidden="false" customHeight="false" outlineLevel="0" collapsed="false">
      <c r="A28" s="0" t="s">
        <v>138</v>
      </c>
      <c r="B28" s="0" t="n">
        <v>1</v>
      </c>
      <c r="C28" s="0" t="s">
        <v>139</v>
      </c>
      <c r="D28" s="0" t="s">
        <v>140</v>
      </c>
      <c r="E28" s="0" t="s">
        <v>141</v>
      </c>
      <c r="F28" s="0" t="n">
        <v>0.001</v>
      </c>
      <c r="G28" s="0" t="n">
        <f aca="false">F28*B28</f>
        <v>0.001</v>
      </c>
      <c r="H28" s="0" t="s">
        <v>76</v>
      </c>
      <c r="I28" s="0" t="s">
        <v>142</v>
      </c>
    </row>
    <row r="29" customFormat="false" ht="12.8" hidden="false" customHeight="false" outlineLevel="0" collapsed="false">
      <c r="A29" s="0" t="s">
        <v>143</v>
      </c>
      <c r="B29" s="0" t="n">
        <v>2</v>
      </c>
      <c r="C29" s="0" t="n">
        <v>220</v>
      </c>
      <c r="D29" s="0" t="s">
        <v>109</v>
      </c>
      <c r="E29" s="0" t="s">
        <v>110</v>
      </c>
      <c r="F29" s="0" t="n">
        <v>0.001</v>
      </c>
      <c r="G29" s="0" t="n">
        <f aca="false">F29*B29</f>
        <v>0.002</v>
      </c>
      <c r="H29" s="0" t="s">
        <v>76</v>
      </c>
      <c r="I29" s="0" t="s">
        <v>111</v>
      </c>
      <c r="K29" s="0" t="n">
        <v>1</v>
      </c>
    </row>
    <row r="30" customFormat="false" ht="12.8" hidden="false" customHeight="false" outlineLevel="0" collapsed="false">
      <c r="A30" s="0" t="s">
        <v>144</v>
      </c>
      <c r="B30" s="0" t="n">
        <v>1</v>
      </c>
      <c r="C30" s="0" t="s">
        <v>145</v>
      </c>
      <c r="D30" s="0" t="s">
        <v>146</v>
      </c>
      <c r="E30" s="0" t="s">
        <v>147</v>
      </c>
      <c r="F30" s="0" t="n">
        <v>0.001</v>
      </c>
      <c r="G30" s="0" t="n">
        <f aca="false">F30*B30</f>
        <v>0.001</v>
      </c>
      <c r="H30" s="0" t="s">
        <v>76</v>
      </c>
      <c r="I30" s="0" t="s">
        <v>148</v>
      </c>
    </row>
    <row r="31" customFormat="false" ht="12.8" hidden="false" customHeight="false" outlineLevel="0" collapsed="false">
      <c r="A31" s="0" t="s">
        <v>149</v>
      </c>
      <c r="B31" s="0" t="n">
        <v>3</v>
      </c>
      <c r="C31" s="0" t="s">
        <v>150</v>
      </c>
      <c r="D31" s="0" t="s">
        <v>151</v>
      </c>
      <c r="E31" s="0" t="s">
        <v>150</v>
      </c>
      <c r="F31" s="0" t="n">
        <v>0.114</v>
      </c>
      <c r="G31" s="0" t="n">
        <f aca="false">F31*B31</f>
        <v>0.342</v>
      </c>
      <c r="H31" s="0" t="s">
        <v>152</v>
      </c>
      <c r="I31" s="0" t="s">
        <v>153</v>
      </c>
    </row>
    <row r="32" customFormat="false" ht="12.8" hidden="false" customHeight="false" outlineLevel="0" collapsed="false">
      <c r="A32" s="0" t="s">
        <v>154</v>
      </c>
      <c r="B32" s="0" t="n">
        <v>1</v>
      </c>
      <c r="C32" s="0" t="s">
        <v>155</v>
      </c>
      <c r="D32" s="0" t="s">
        <v>51</v>
      </c>
      <c r="E32" s="0" t="s">
        <v>156</v>
      </c>
      <c r="F32" s="0" t="n">
        <v>0.3</v>
      </c>
      <c r="G32" s="0" t="n">
        <f aca="false">F32*B32</f>
        <v>0.3</v>
      </c>
      <c r="H32" s="0" t="s">
        <v>76</v>
      </c>
      <c r="I32" s="0" t="s">
        <v>157</v>
      </c>
      <c r="J32" s="0" t="s">
        <v>8</v>
      </c>
    </row>
    <row r="33" customFormat="false" ht="12.8" hidden="false" customHeight="false" outlineLevel="0" collapsed="false">
      <c r="A33" s="0" t="s">
        <v>158</v>
      </c>
      <c r="B33" s="0" t="n">
        <v>1</v>
      </c>
      <c r="C33" s="0" t="s">
        <v>159</v>
      </c>
      <c r="D33" s="0" t="s">
        <v>160</v>
      </c>
      <c r="E33" s="0" t="s">
        <v>161</v>
      </c>
      <c r="F33" s="0" t="n">
        <v>2</v>
      </c>
      <c r="G33" s="0" t="n">
        <f aca="false">F33*B33</f>
        <v>2</v>
      </c>
      <c r="H33" s="0" t="s">
        <v>162</v>
      </c>
      <c r="I33" s="0" t="s">
        <v>163</v>
      </c>
    </row>
    <row r="34" customFormat="false" ht="12.8" hidden="false" customHeight="false" outlineLevel="0" collapsed="false">
      <c r="A34" s="0" t="s">
        <v>164</v>
      </c>
      <c r="B34" s="0" t="n">
        <v>1</v>
      </c>
      <c r="C34" s="0" t="s">
        <v>165</v>
      </c>
      <c r="D34" s="0" t="s">
        <v>166</v>
      </c>
      <c r="E34" s="0" t="s">
        <v>167</v>
      </c>
      <c r="F34" s="0" t="n">
        <v>0.3</v>
      </c>
      <c r="G34" s="0" t="n">
        <f aca="false">F34*B34</f>
        <v>0.3</v>
      </c>
      <c r="H34" s="0" t="s">
        <v>168</v>
      </c>
      <c r="I34" s="0" t="s">
        <v>169</v>
      </c>
    </row>
    <row r="35" customFormat="false" ht="12.8" hidden="false" customHeight="false" outlineLevel="0" collapsed="false">
      <c r="A35" s="0" t="s">
        <v>170</v>
      </c>
      <c r="B35" s="0" t="n">
        <v>1</v>
      </c>
      <c r="C35" s="0" t="s">
        <v>171</v>
      </c>
      <c r="D35" s="0" t="s">
        <v>172</v>
      </c>
      <c r="E35" s="0" t="s">
        <v>173</v>
      </c>
      <c r="F35" s="0" t="n">
        <v>0.4</v>
      </c>
      <c r="G35" s="0" t="n">
        <f aca="false">F35*B35</f>
        <v>0.4</v>
      </c>
      <c r="H35" s="0" t="s">
        <v>174</v>
      </c>
      <c r="I35" s="0" t="s">
        <v>175</v>
      </c>
    </row>
    <row r="36" customFormat="false" ht="12.8" hidden="false" customHeight="false" outlineLevel="0" collapsed="false">
      <c r="A36" s="0" t="s">
        <v>176</v>
      </c>
      <c r="B36" s="0" t="n">
        <v>1</v>
      </c>
      <c r="C36" s="0" t="s">
        <v>177</v>
      </c>
      <c r="D36" s="0" t="s">
        <v>178</v>
      </c>
      <c r="E36" s="0" t="s">
        <v>179</v>
      </c>
      <c r="F36" s="0" t="n">
        <v>2</v>
      </c>
      <c r="G36" s="0" t="n">
        <f aca="false">F36*B36</f>
        <v>2</v>
      </c>
      <c r="H36" s="0" t="s">
        <v>180</v>
      </c>
      <c r="I36" s="0" t="s">
        <v>181</v>
      </c>
    </row>
    <row r="37" customFormat="false" ht="12.8" hidden="false" customHeight="false" outlineLevel="0" collapsed="false">
      <c r="A37" s="0" t="s">
        <v>182</v>
      </c>
      <c r="B37" s="0" t="n">
        <v>1</v>
      </c>
      <c r="C37" s="0" t="s">
        <v>183</v>
      </c>
      <c r="D37" s="0" t="s">
        <v>184</v>
      </c>
      <c r="E37" s="0" t="s">
        <v>183</v>
      </c>
      <c r="F37" s="0" t="n">
        <v>2.7</v>
      </c>
      <c r="G37" s="0" t="n">
        <f aca="false">F37*B37</f>
        <v>2.7</v>
      </c>
      <c r="H37" s="0" t="s">
        <v>185</v>
      </c>
      <c r="I37" s="0" t="s">
        <v>186</v>
      </c>
    </row>
    <row r="38" customFormat="false" ht="12.8" hidden="false" customHeight="false" outlineLevel="0" collapsed="false">
      <c r="A38" s="0" t="s">
        <v>187</v>
      </c>
      <c r="B38" s="0" t="n">
        <v>1</v>
      </c>
      <c r="C38" s="0" t="s">
        <v>188</v>
      </c>
      <c r="D38" s="0" t="s">
        <v>189</v>
      </c>
      <c r="E38" s="0" t="s">
        <v>190</v>
      </c>
      <c r="F38" s="0" t="n">
        <v>0.3</v>
      </c>
      <c r="G38" s="0" t="n">
        <f aca="false">F38*B38</f>
        <v>0.3</v>
      </c>
      <c r="H38" s="0" t="s">
        <v>191</v>
      </c>
      <c r="I38" s="0" t="s">
        <v>192</v>
      </c>
    </row>
    <row r="39" customFormat="false" ht="12.8" hidden="false" customHeight="false" outlineLevel="0" collapsed="false">
      <c r="A39" s="0" t="s">
        <v>193</v>
      </c>
      <c r="B39" s="0" t="n">
        <v>1</v>
      </c>
      <c r="C39" s="0" t="s">
        <v>194</v>
      </c>
      <c r="D39" s="0" t="s">
        <v>195</v>
      </c>
      <c r="E39" s="0" t="s">
        <v>196</v>
      </c>
      <c r="F39" s="0" t="n">
        <v>0.2</v>
      </c>
      <c r="G39" s="0" t="n">
        <f aca="false">F39*B39</f>
        <v>0.2</v>
      </c>
      <c r="H39" s="0" t="s">
        <v>197</v>
      </c>
      <c r="I39" s="0" t="s">
        <v>198</v>
      </c>
    </row>
    <row r="40" customFormat="false" ht="12.8" hidden="false" customHeight="false" outlineLevel="0" collapsed="false">
      <c r="F40" s="0" t="s">
        <v>199</v>
      </c>
      <c r="G40" s="0" t="n">
        <f aca="false">SUM(G2:G39)</f>
        <v>15.3882</v>
      </c>
    </row>
    <row r="41" customFormat="false" ht="12.8" hidden="false" customHeight="false" outlineLevel="0" collapsed="false">
      <c r="F41" s="0" t="s">
        <v>200</v>
      </c>
      <c r="G41" s="0" t="e">
        <f aca="false">SUM(g9e29,G29,G12)</f>
        <v>#NAME?</v>
      </c>
    </row>
  </sheetData>
  <hyperlinks>
    <hyperlink ref="I6" r:id="rId1" display="https://www.lcsc.com/datasheet/C1705.pdf"/>
  </hyperlink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Roman,Normálne"&amp;12&amp;A</oddHeader>
    <oddFooter>&amp;C&amp;"Times New Roman,Normálne"&amp;12Strana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</TotalTime>
  <Application>LibreOffice/25.8.2.2$Windows_X86_64 LibreOffice_project/d401f2107ccab8f924a8e2df40f573aab7605b6f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sk-SK</dc:language>
  <cp:lastModifiedBy/>
  <dcterms:modified xsi:type="dcterms:W3CDTF">2025-10-19T22:40:59Z</dcterms:modified>
  <cp:revision>2</cp:revision>
  <dc:subject/>
  <dc:title/>
</cp:coreProperties>
</file>